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0115" windowHeight="8265"/>
  </bookViews>
  <sheets>
    <sheet name="Debrup Motilal" sheetId="2" r:id="rId1"/>
    <sheet name="Jayashree" sheetId="1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D16" i="2" l="1"/>
  <c r="B16" i="2"/>
  <c r="K10" i="1"/>
  <c r="O10" i="1" s="1"/>
  <c r="N11" i="1"/>
  <c r="N10" i="1"/>
  <c r="J10" i="1"/>
  <c r="O10" i="2"/>
  <c r="K10" i="2"/>
  <c r="J10" i="2"/>
  <c r="N10" i="2" s="1"/>
  <c r="J12" i="2" l="1"/>
  <c r="D15" i="2" l="1"/>
  <c r="B15" i="2"/>
  <c r="N9" i="1"/>
  <c r="O9" i="1"/>
  <c r="K9" i="1"/>
  <c r="J9" i="1"/>
  <c r="O9" i="2"/>
  <c r="K9" i="2"/>
  <c r="J9" i="2"/>
  <c r="N9" i="2" s="1"/>
  <c r="D13" i="2" l="1"/>
  <c r="D14" i="2"/>
  <c r="B10" i="2"/>
  <c r="B11" i="2"/>
  <c r="B12" i="2" s="1"/>
  <c r="B13" i="2" s="1"/>
  <c r="B14" i="2" s="1"/>
  <c r="D10" i="2"/>
  <c r="C10" i="2"/>
  <c r="C9" i="2"/>
  <c r="D9" i="2"/>
  <c r="B9" i="2"/>
  <c r="G12" i="1"/>
  <c r="O5" i="1"/>
  <c r="O6" i="1"/>
  <c r="O7" i="1"/>
  <c r="O8" i="1"/>
  <c r="O4" i="1"/>
  <c r="N8" i="1"/>
  <c r="N7" i="1"/>
  <c r="N6" i="1"/>
  <c r="N5" i="1"/>
  <c r="K6" i="1"/>
  <c r="K7" i="1" s="1"/>
  <c r="K8" i="1" s="1"/>
  <c r="K5" i="1"/>
  <c r="K4" i="1"/>
  <c r="N4" i="1"/>
  <c r="J5" i="1"/>
  <c r="J6" i="1"/>
  <c r="J7" i="1"/>
  <c r="J8" i="1"/>
  <c r="J4" i="1"/>
  <c r="B17" i="1"/>
  <c r="C17" i="1"/>
  <c r="D17" i="1"/>
  <c r="B16" i="1"/>
  <c r="B15" i="1"/>
  <c r="B10" i="1"/>
  <c r="B11" i="1"/>
  <c r="B12" i="1"/>
  <c r="B13" i="1"/>
  <c r="B14" i="1"/>
  <c r="B9" i="1"/>
  <c r="B6" i="1"/>
  <c r="B7" i="1"/>
  <c r="B8" i="1"/>
  <c r="B5" i="1"/>
  <c r="B4" i="1"/>
  <c r="O5" i="2"/>
  <c r="O6" i="2"/>
  <c r="O7" i="2"/>
  <c r="O8" i="2"/>
  <c r="O4" i="2"/>
  <c r="N6" i="2"/>
  <c r="N7" i="2"/>
  <c r="N8" i="2"/>
  <c r="K6" i="2"/>
  <c r="K7" i="2"/>
  <c r="K8" i="2"/>
  <c r="J8" i="2"/>
  <c r="J6" i="2"/>
  <c r="J7" i="2"/>
  <c r="N4" i="2"/>
  <c r="J5" i="2"/>
  <c r="N5" i="2" s="1"/>
  <c r="K4" i="2"/>
  <c r="J4" i="2"/>
  <c r="D4" i="2"/>
  <c r="D12" i="2" l="1"/>
  <c r="D11" i="2"/>
  <c r="K5" i="2"/>
</calcChain>
</file>

<file path=xl/sharedStrings.xml><?xml version="1.0" encoding="utf-8"?>
<sst xmlns="http://schemas.openxmlformats.org/spreadsheetml/2006/main" count="31" uniqueCount="14">
  <si>
    <t>Units</t>
  </si>
  <si>
    <t>NAV</t>
  </si>
  <si>
    <t>Investement</t>
  </si>
  <si>
    <t>Date</t>
  </si>
  <si>
    <t>INVESTMENT</t>
  </si>
  <si>
    <t>Capital Gain/Loss</t>
  </si>
  <si>
    <t>Cashflow</t>
  </si>
  <si>
    <t>Remaining Units</t>
  </si>
  <si>
    <t>SWP</t>
  </si>
  <si>
    <t>Balance</t>
  </si>
  <si>
    <t>TOTAL UNITS</t>
  </si>
  <si>
    <t>DATE</t>
  </si>
  <si>
    <t>UNITS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</si>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</sst>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/>
    <xf numFmtId="2" fontId="0" fillId="0" borderId="0" xfId="0" applyNumberFormat="1"/>
    <xf numFmtId="0" fontId="1" fillId="0" borderId="1" xfId="0" applyFont="1" applyBorder="1" applyAlignment="1">
      <alignment horizontal="center"/>
    </xf>
    <xf numFmtId="14" fontId="0" fillId="0" borderId="1" xfId="0" applyNumberFormat="1" applyBorder="1"/>
    <xf numFmtId="0" fontId="0" fillId="0" borderId="1" xfId="0" applyBorder="1"/>
    <xf numFmtId="2" fontId="0" fillId="0" borderId="1" xfId="0" applyNumberFormat="1" applyBorder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2" fontId="3" fillId="0" borderId="1" xfId="0" applyNumberFormat="1" applyFont="1" applyBorder="1"/>
    <xf numFmtId="2" fontId="2" fillId="0" borderId="1" xfId="0" applyNumberFormat="1" applyFont="1" applyBorder="1"/>
    <xf numFmtId="1" fontId="2" fillId="0" borderId="1" xfId="0" applyNumberFormat="1" applyFont="1" applyBorder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center"/>
    </xf>
    <xf numFmtId="0" fontId="7" fillId="0" borderId="1" xfId="0" applyFont="1" applyBorder="1"/>
    <xf numFmtId="2" fontId="0" fillId="0" borderId="1" xfId="0" applyNumberFormat="1" applyFill="1" applyBorder="1"/>
    <xf numFmtId="0" fontId="0" fillId="0" borderId="1" xfId="0" applyFill="1" applyBorder="1"/>
    <xf numFmtId="0" fontId="6" fillId="0" borderId="1" xfId="0" applyFont="1" applyBorder="1"/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4" fontId="0" fillId="0" borderId="2" xfId="0" applyNumberFormat="1" applyBorder="1"/>
    <xf numFmtId="0" fontId="0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"/>
  <sheetViews>
    <sheetView tabSelected="1" workbookViewId="0">
      <selection activeCell="I10" sqref="I10"/>
    </sheetView>
  </sheetViews>
  <sheetFormatPr defaultRowHeight="15" x14ac:dyDescent="0.25"/>
  <cols>
    <col min="1" max="1" width="13.28515625" customWidth="1"/>
    <col min="2" max="2" width="15" customWidth="1"/>
    <col min="3" max="3" width="14.5703125" customWidth="1"/>
    <col min="4" max="4" width="16.140625" customWidth="1"/>
    <col min="10" max="10" width="12" customWidth="1"/>
    <col min="11" max="13" width="12.5703125" customWidth="1"/>
    <col min="14" max="14" width="14" customWidth="1"/>
    <col min="15" max="15" width="14.5703125" customWidth="1"/>
  </cols>
  <sheetData>
    <row r="1" spans="1:15" s="1" customFormat="1" ht="18.75" x14ac:dyDescent="0.3">
      <c r="B1" s="22" t="s">
        <v>4</v>
      </c>
      <c r="C1" s="22"/>
      <c r="D1" s="3"/>
      <c r="K1" s="22" t="s">
        <v>8</v>
      </c>
      <c r="L1" s="22"/>
    </row>
    <row r="3" spans="1:15" s="2" customFormat="1" ht="37.5" x14ac:dyDescent="0.3">
      <c r="A3" s="15" t="s">
        <v>3</v>
      </c>
      <c r="B3" s="15" t="s">
        <v>0</v>
      </c>
      <c r="C3" s="15" t="s">
        <v>1</v>
      </c>
      <c r="D3" s="15" t="s">
        <v>2</v>
      </c>
      <c r="I3" s="15" t="s">
        <v>3</v>
      </c>
      <c r="J3" s="15" t="s">
        <v>0</v>
      </c>
      <c r="K3" s="16" t="s">
        <v>7</v>
      </c>
      <c r="L3" s="15" t="s">
        <v>1</v>
      </c>
      <c r="M3" s="15" t="s">
        <v>6</v>
      </c>
      <c r="N3" s="16" t="s">
        <v>5</v>
      </c>
      <c r="O3" s="15" t="s">
        <v>9</v>
      </c>
    </row>
    <row r="4" spans="1:15" x14ac:dyDescent="0.25">
      <c r="A4" s="6">
        <v>45505</v>
      </c>
      <c r="B4" s="7">
        <v>17898.23</v>
      </c>
      <c r="C4" s="7">
        <v>112.69</v>
      </c>
      <c r="D4" s="7">
        <f>B4*C4</f>
        <v>2016951.5386999999</v>
      </c>
      <c r="I4" s="6">
        <v>46031</v>
      </c>
      <c r="J4" s="8">
        <f>M4/L4</f>
        <v>88.30801836806782</v>
      </c>
      <c r="K4" s="8">
        <f>B4-J4</f>
        <v>17809.921981631931</v>
      </c>
      <c r="L4" s="7">
        <v>113.24</v>
      </c>
      <c r="M4" s="7">
        <v>10000</v>
      </c>
      <c r="N4" s="8">
        <f>(J4*L4)-(J4*$C$4)</f>
        <v>48.569410102438269</v>
      </c>
      <c r="O4" s="7">
        <f>K4*L4</f>
        <v>2016795.5651999998</v>
      </c>
    </row>
    <row r="5" spans="1:15" ht="15" customHeight="1" x14ac:dyDescent="0.25">
      <c r="I5" s="6">
        <v>46055</v>
      </c>
      <c r="J5" s="8">
        <f>M5/L5</f>
        <v>94.741828517290386</v>
      </c>
      <c r="K5" s="8">
        <f>K4-J5</f>
        <v>17715.180153114641</v>
      </c>
      <c r="L5" s="7">
        <v>105.55</v>
      </c>
      <c r="M5" s="7">
        <v>10000</v>
      </c>
      <c r="N5" s="8">
        <f>(J5*L5)-(J5*$C$4)</f>
        <v>-676.45665561345413</v>
      </c>
      <c r="O5" s="7">
        <f t="shared" ref="O5:O10" si="0">K5*L5</f>
        <v>1869837.2651612503</v>
      </c>
    </row>
    <row r="6" spans="1:15" x14ac:dyDescent="0.25">
      <c r="I6" s="6">
        <v>46083</v>
      </c>
      <c r="J6" s="8">
        <f t="shared" ref="J6:J7" si="1">M6/L6</f>
        <v>98.648515339844124</v>
      </c>
      <c r="K6" s="8">
        <f t="shared" ref="K6:K10" si="2">K5-J6</f>
        <v>17616.531637774799</v>
      </c>
      <c r="L6" s="7">
        <v>101.37</v>
      </c>
      <c r="M6" s="7">
        <v>10000</v>
      </c>
      <c r="N6" s="8">
        <f t="shared" ref="N6:N10" si="3">(J6*L6)-(J6*$C$4)</f>
        <v>-1116.7011936470335</v>
      </c>
      <c r="O6" s="7">
        <f t="shared" si="0"/>
        <v>1785787.8121212313</v>
      </c>
    </row>
    <row r="7" spans="1:15" ht="15.75" x14ac:dyDescent="0.25">
      <c r="A7" s="7"/>
      <c r="B7" s="23" t="s">
        <v>10</v>
      </c>
      <c r="C7" s="23"/>
      <c r="D7" s="7"/>
      <c r="I7" s="6">
        <v>46113</v>
      </c>
      <c r="J7" s="8">
        <f t="shared" si="1"/>
        <v>104.58063166701527</v>
      </c>
      <c r="K7" s="8">
        <f t="shared" si="2"/>
        <v>17511.951006107782</v>
      </c>
      <c r="L7" s="7">
        <v>95.62</v>
      </c>
      <c r="M7" s="7">
        <v>10000</v>
      </c>
      <c r="N7" s="8">
        <f t="shared" si="3"/>
        <v>-1785.1913825559495</v>
      </c>
      <c r="O7" s="7">
        <f t="shared" si="0"/>
        <v>1674492.7552040261</v>
      </c>
    </row>
    <row r="8" spans="1:15" ht="15.75" x14ac:dyDescent="0.25">
      <c r="A8" s="17" t="s">
        <v>11</v>
      </c>
      <c r="B8" s="17" t="s">
        <v>12</v>
      </c>
      <c r="C8" s="17" t="s">
        <v>1</v>
      </c>
      <c r="D8" s="17" t="s">
        <v>13</v>
      </c>
      <c r="I8" s="6">
        <v>46146</v>
      </c>
      <c r="J8" s="8">
        <f>M8/L8</f>
        <v>94.885662776354494</v>
      </c>
      <c r="K8" s="8">
        <f t="shared" si="2"/>
        <v>17417.065343331426</v>
      </c>
      <c r="L8" s="7">
        <v>105.39</v>
      </c>
      <c r="M8" s="7">
        <v>10000</v>
      </c>
      <c r="N8" s="8">
        <f t="shared" si="3"/>
        <v>-692.66533826738851</v>
      </c>
      <c r="O8" s="18">
        <f t="shared" si="0"/>
        <v>1835584.5165336989</v>
      </c>
    </row>
    <row r="9" spans="1:15" ht="15.75" x14ac:dyDescent="0.25">
      <c r="A9" s="6">
        <v>45539</v>
      </c>
      <c r="B9" s="13">
        <f>B4+Jayashree!B17</f>
        <v>37574.118937555941</v>
      </c>
      <c r="C9" s="13">
        <f>D9/B9</f>
        <v>117.5498365255161</v>
      </c>
      <c r="D9" s="14">
        <f>D4+Jayashree!D17</f>
        <v>4416831.5386999995</v>
      </c>
      <c r="I9" s="6">
        <v>46174</v>
      </c>
      <c r="J9" s="19">
        <f>M9/L9</f>
        <v>95.301629657867139</v>
      </c>
      <c r="K9" s="8">
        <f t="shared" si="2"/>
        <v>17321.763713673558</v>
      </c>
      <c r="L9" s="20">
        <v>104.93</v>
      </c>
      <c r="M9" s="7">
        <v>10000</v>
      </c>
      <c r="N9" s="19">
        <f t="shared" si="3"/>
        <v>-739.5406461450475</v>
      </c>
      <c r="O9" s="9">
        <f t="shared" si="0"/>
        <v>1817572.6664757666</v>
      </c>
    </row>
    <row r="10" spans="1:15" ht="15.75" x14ac:dyDescent="0.25">
      <c r="A10" s="6">
        <v>45300</v>
      </c>
      <c r="B10" s="8">
        <f>B9-J4-Jayashree!J4</f>
        <v>37351.594741664609</v>
      </c>
      <c r="C10" s="7">
        <f>(L4+Jayashree!L4)/2</f>
        <v>112.5</v>
      </c>
      <c r="D10" s="7">
        <f>B10*C10</f>
        <v>4202054.4084372688</v>
      </c>
      <c r="I10" s="24">
        <v>46204</v>
      </c>
      <c r="J10" s="19">
        <f>M10/L10</f>
        <v>91.516427198682166</v>
      </c>
      <c r="K10" s="8">
        <f t="shared" si="2"/>
        <v>17230.247286474874</v>
      </c>
      <c r="L10" s="20">
        <v>109.27</v>
      </c>
      <c r="M10" s="20">
        <v>10000</v>
      </c>
      <c r="N10" s="19">
        <f t="shared" si="3"/>
        <v>-312.98618101949251</v>
      </c>
      <c r="O10" s="9">
        <f t="shared" si="0"/>
        <v>1882749.1209931094</v>
      </c>
    </row>
    <row r="11" spans="1:15" x14ac:dyDescent="0.25">
      <c r="A11" s="6">
        <v>46055</v>
      </c>
      <c r="B11" s="8">
        <f>B10-J5-Jayashree!J5</f>
        <v>37114.740170371384</v>
      </c>
      <c r="C11" s="7">
        <v>105.55</v>
      </c>
      <c r="D11" s="7">
        <f t="shared" ref="D11:D16" si="4">B11*C11</f>
        <v>3917460.8249826995</v>
      </c>
    </row>
    <row r="12" spans="1:15" x14ac:dyDescent="0.25">
      <c r="A12" s="6">
        <v>46083</v>
      </c>
      <c r="B12" s="8">
        <f>B11-J6-Jayashree!J6</f>
        <v>36868.118882021772</v>
      </c>
      <c r="C12" s="7">
        <v>101.37</v>
      </c>
      <c r="D12" s="7">
        <f t="shared" si="4"/>
        <v>3737321.2110705473</v>
      </c>
      <c r="J12" s="4">
        <f>(J9+Jayashree!J9)*L9</f>
        <v>25000</v>
      </c>
    </row>
    <row r="13" spans="1:15" x14ac:dyDescent="0.25">
      <c r="A13" s="6">
        <v>46113</v>
      </c>
      <c r="B13" s="8">
        <f>B12-J7-Jayashree!J7</f>
        <v>36606.667302854235</v>
      </c>
      <c r="C13" s="7">
        <v>95.62</v>
      </c>
      <c r="D13" s="7">
        <f t="shared" si="4"/>
        <v>3500329.5274989223</v>
      </c>
    </row>
    <row r="14" spans="1:15" x14ac:dyDescent="0.25">
      <c r="A14" s="6">
        <v>46146</v>
      </c>
      <c r="B14" s="8">
        <f>B13-J8-Jayashree!J8</f>
        <v>36369.45314591335</v>
      </c>
      <c r="C14" s="7">
        <v>105.39</v>
      </c>
      <c r="D14" s="7">
        <f t="shared" si="4"/>
        <v>3832976.6670478079</v>
      </c>
    </row>
    <row r="15" spans="1:15" x14ac:dyDescent="0.25">
      <c r="A15" s="6">
        <v>46174</v>
      </c>
      <c r="B15" s="8">
        <f>B14-J9-Jayashree!J9</f>
        <v>36131.199071768686</v>
      </c>
      <c r="C15" s="20">
        <v>104.93</v>
      </c>
      <c r="D15" s="20">
        <f t="shared" si="4"/>
        <v>3791246.7186006885</v>
      </c>
    </row>
    <row r="16" spans="1:15" x14ac:dyDescent="0.25">
      <c r="A16" s="24">
        <v>46204</v>
      </c>
      <c r="B16" s="8">
        <f>B15-J10-Jayashree!J10</f>
        <v>35902.408003771983</v>
      </c>
      <c r="C16" s="20">
        <v>109.27</v>
      </c>
      <c r="D16" s="20">
        <f t="shared" si="4"/>
        <v>3923056.1225721645</v>
      </c>
    </row>
    <row r="20" spans="3:3" x14ac:dyDescent="0.25">
      <c r="C20" s="4"/>
    </row>
  </sheetData>
  <mergeCells count="3">
    <mergeCell ref="B1:C1"/>
    <mergeCell ref="K1:L1"/>
    <mergeCell ref="B7:C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"/>
  <sheetViews>
    <sheetView workbookViewId="0">
      <selection activeCell="O9" sqref="O9"/>
    </sheetView>
  </sheetViews>
  <sheetFormatPr defaultRowHeight="15" x14ac:dyDescent="0.25"/>
  <cols>
    <col min="1" max="1" width="12.140625" customWidth="1"/>
    <col min="2" max="2" width="13.42578125" customWidth="1"/>
    <col min="3" max="3" width="10.85546875" customWidth="1"/>
    <col min="4" max="4" width="19.140625" customWidth="1"/>
    <col min="11" max="11" width="13" customWidth="1"/>
    <col min="13" max="13" width="11.5703125" customWidth="1"/>
    <col min="14" max="14" width="13.7109375" customWidth="1"/>
  </cols>
  <sheetData>
    <row r="1" spans="1:15" ht="18.75" x14ac:dyDescent="0.3">
      <c r="B1" s="22" t="s">
        <v>4</v>
      </c>
      <c r="C1" s="22"/>
      <c r="L1" s="22" t="s">
        <v>8</v>
      </c>
      <c r="M1" s="22"/>
    </row>
    <row r="3" spans="1:15" ht="56.25" x14ac:dyDescent="0.3">
      <c r="A3" s="5" t="s">
        <v>3</v>
      </c>
      <c r="B3" s="15" t="s">
        <v>0</v>
      </c>
      <c r="C3" s="15" t="s">
        <v>1</v>
      </c>
      <c r="D3" s="15" t="s">
        <v>2</v>
      </c>
      <c r="F3" s="3"/>
      <c r="I3" s="15" t="s">
        <v>3</v>
      </c>
      <c r="J3" s="15" t="s">
        <v>0</v>
      </c>
      <c r="K3" s="16" t="s">
        <v>7</v>
      </c>
      <c r="L3" s="15" t="s">
        <v>1</v>
      </c>
      <c r="M3" s="15" t="s">
        <v>6</v>
      </c>
      <c r="N3" s="16" t="s">
        <v>5</v>
      </c>
      <c r="O3" s="15" t="s">
        <v>9</v>
      </c>
    </row>
    <row r="4" spans="1:15" x14ac:dyDescent="0.25">
      <c r="A4" s="6">
        <v>45560</v>
      </c>
      <c r="B4" s="8">
        <f>D4/C4</f>
        <v>1978.3035199076746</v>
      </c>
      <c r="C4" s="7">
        <v>121.31</v>
      </c>
      <c r="D4" s="7">
        <v>239988</v>
      </c>
      <c r="I4" s="6">
        <v>46041</v>
      </c>
      <c r="J4" s="8">
        <f>M4/L4</f>
        <v>134.21617752326412</v>
      </c>
      <c r="K4" s="8">
        <f>B17-J4</f>
        <v>19541.672760032678</v>
      </c>
      <c r="L4" s="7">
        <v>111.76</v>
      </c>
      <c r="M4" s="7">
        <v>15000</v>
      </c>
      <c r="N4" s="8">
        <f>(J4*L4)-(J4*C4)</f>
        <v>-1281.7644953471736</v>
      </c>
      <c r="O4" s="7">
        <f>K4*L4</f>
        <v>2183977.3476612521</v>
      </c>
    </row>
    <row r="5" spans="1:15" x14ac:dyDescent="0.25">
      <c r="A5" s="6">
        <v>45561</v>
      </c>
      <c r="B5" s="8">
        <f>D5/C5</f>
        <v>817.95501022494886</v>
      </c>
      <c r="C5" s="7">
        <v>122.25</v>
      </c>
      <c r="D5" s="7">
        <v>99995</v>
      </c>
      <c r="I5" s="6">
        <v>46055</v>
      </c>
      <c r="J5" s="8">
        <f t="shared" ref="J5:J10" si="0">M5/L5</f>
        <v>142.11274277593557</v>
      </c>
      <c r="K5" s="8">
        <f>K4-J5</f>
        <v>19399.560017256743</v>
      </c>
      <c r="L5" s="7">
        <v>105.55</v>
      </c>
      <c r="M5" s="7">
        <v>15000</v>
      </c>
      <c r="N5" s="8">
        <f>(J5*L5)-(J5*C4)</f>
        <v>-2239.6968261487455</v>
      </c>
      <c r="O5" s="7">
        <f t="shared" ref="O5:O10" si="1">K5*L5</f>
        <v>2047623.5598214492</v>
      </c>
    </row>
    <row r="6" spans="1:15" x14ac:dyDescent="0.25">
      <c r="A6" s="6">
        <v>45561</v>
      </c>
      <c r="B6" s="8">
        <f t="shared" ref="B6:B16" si="2">D6/C6</f>
        <v>1145.1370143149284</v>
      </c>
      <c r="C6" s="7">
        <v>122.25</v>
      </c>
      <c r="D6" s="7">
        <v>139993</v>
      </c>
      <c r="I6" s="6">
        <v>46083</v>
      </c>
      <c r="J6" s="8">
        <f t="shared" si="0"/>
        <v>147.9727730097662</v>
      </c>
      <c r="K6" s="8">
        <f t="shared" ref="K6:K10" si="3">K5-J6</f>
        <v>19251.587244246977</v>
      </c>
      <c r="L6" s="7">
        <v>101.37</v>
      </c>
      <c r="M6" s="7">
        <v>15000</v>
      </c>
      <c r="N6" s="8">
        <f>(J6*L6)-(J6*C4)</f>
        <v>-2950.5770938147398</v>
      </c>
      <c r="O6" s="7">
        <f t="shared" si="1"/>
        <v>1951533.3989493162</v>
      </c>
    </row>
    <row r="7" spans="1:15" x14ac:dyDescent="0.25">
      <c r="A7" s="6">
        <v>45562</v>
      </c>
      <c r="B7" s="8">
        <f t="shared" si="2"/>
        <v>1963.2526178010471</v>
      </c>
      <c r="C7" s="7">
        <v>122.24</v>
      </c>
      <c r="D7" s="7">
        <v>239988</v>
      </c>
      <c r="I7" s="6">
        <v>46113</v>
      </c>
      <c r="J7" s="8">
        <f t="shared" si="0"/>
        <v>156.8709475005229</v>
      </c>
      <c r="K7" s="8">
        <f t="shared" si="3"/>
        <v>19094.716296746454</v>
      </c>
      <c r="L7" s="7">
        <v>95.62</v>
      </c>
      <c r="M7" s="7">
        <v>15000</v>
      </c>
      <c r="N7" s="8">
        <f>(J7*L7)-(J7*C4)</f>
        <v>-4030.0146412884351</v>
      </c>
      <c r="O7" s="7">
        <f t="shared" si="1"/>
        <v>1825836.772294896</v>
      </c>
    </row>
    <row r="8" spans="1:15" x14ac:dyDescent="0.25">
      <c r="A8" s="6">
        <v>45565</v>
      </c>
      <c r="B8" s="8">
        <f t="shared" si="2"/>
        <v>5826.8371641307867</v>
      </c>
      <c r="C8" s="7">
        <v>123.56</v>
      </c>
      <c r="D8" s="7">
        <v>719964</v>
      </c>
      <c r="I8" s="6">
        <v>46146</v>
      </c>
      <c r="J8" s="8">
        <f t="shared" si="0"/>
        <v>142.32849416453175</v>
      </c>
      <c r="K8" s="8">
        <f t="shared" si="3"/>
        <v>18952.387802581921</v>
      </c>
      <c r="L8" s="7">
        <v>105.39</v>
      </c>
      <c r="M8" s="7">
        <v>15000</v>
      </c>
      <c r="N8" s="8">
        <f>(J8*L8)-(J8*C4)</f>
        <v>-2265.8696270993441</v>
      </c>
      <c r="O8" s="7">
        <f t="shared" si="1"/>
        <v>1997392.1505141086</v>
      </c>
    </row>
    <row r="9" spans="1:15" x14ac:dyDescent="0.25">
      <c r="A9" s="6">
        <v>45566</v>
      </c>
      <c r="B9" s="8">
        <f t="shared" si="2"/>
        <v>1972.4500698610996</v>
      </c>
      <c r="C9" s="7">
        <v>121.67</v>
      </c>
      <c r="D9" s="7">
        <v>239988</v>
      </c>
      <c r="I9" s="6">
        <v>46174</v>
      </c>
      <c r="J9" s="8">
        <f t="shared" si="0"/>
        <v>142.95244448680072</v>
      </c>
      <c r="K9" s="8">
        <f t="shared" si="3"/>
        <v>18809.435358095121</v>
      </c>
      <c r="L9" s="20">
        <v>104.93</v>
      </c>
      <c r="M9" s="7">
        <v>15000</v>
      </c>
      <c r="N9" s="8">
        <f>(J9*L9)-(J9*C4)</f>
        <v>-2341.5610406937958</v>
      </c>
      <c r="O9" s="25">
        <f t="shared" si="1"/>
        <v>1973674.0521249212</v>
      </c>
    </row>
    <row r="10" spans="1:15" x14ac:dyDescent="0.25">
      <c r="A10" s="6">
        <v>45568</v>
      </c>
      <c r="B10" s="8">
        <f t="shared" si="2"/>
        <v>3988.8307155322864</v>
      </c>
      <c r="C10" s="7">
        <v>120.33</v>
      </c>
      <c r="D10" s="7">
        <v>479976</v>
      </c>
      <c r="I10" s="24">
        <v>46204</v>
      </c>
      <c r="J10" s="19">
        <f t="shared" si="0"/>
        <v>137.27464079802326</v>
      </c>
      <c r="K10" s="8">
        <f t="shared" si="3"/>
        <v>18672.160717297098</v>
      </c>
      <c r="L10" s="20">
        <v>109.27</v>
      </c>
      <c r="M10" s="20">
        <v>15000</v>
      </c>
      <c r="N10" s="8">
        <f>(J10*L10)-(J10*C5)</f>
        <v>-1781.8248375583426</v>
      </c>
      <c r="O10" s="21">
        <f t="shared" si="1"/>
        <v>2040307.0015790539</v>
      </c>
    </row>
    <row r="11" spans="1:15" x14ac:dyDescent="0.25">
      <c r="A11" s="6">
        <v>45568</v>
      </c>
      <c r="B11" s="8">
        <f t="shared" si="2"/>
        <v>82.185419577545815</v>
      </c>
      <c r="C11" s="7">
        <v>121.67</v>
      </c>
      <c r="D11" s="7">
        <v>9999.5</v>
      </c>
      <c r="N11" s="4">
        <f>SUM(N4:N10)</f>
        <v>-16891.308561950576</v>
      </c>
    </row>
    <row r="12" spans="1:15" x14ac:dyDescent="0.25">
      <c r="A12" s="6">
        <v>45569</v>
      </c>
      <c r="B12" s="8">
        <f t="shared" si="2"/>
        <v>831.00639906922629</v>
      </c>
      <c r="C12" s="7">
        <v>120.33</v>
      </c>
      <c r="D12" s="7">
        <v>99995</v>
      </c>
      <c r="G12" s="4">
        <f>B4-J4-J5-J6-J7-J8</f>
        <v>1254.8023849336539</v>
      </c>
    </row>
    <row r="13" spans="1:15" x14ac:dyDescent="0.25">
      <c r="A13" s="6">
        <v>45572</v>
      </c>
      <c r="B13" s="8">
        <f t="shared" si="2"/>
        <v>418.24912163292618</v>
      </c>
      <c r="C13" s="7">
        <v>119.54</v>
      </c>
      <c r="D13" s="7">
        <v>49997.5</v>
      </c>
    </row>
    <row r="14" spans="1:15" x14ac:dyDescent="0.25">
      <c r="A14" s="6">
        <v>45573</v>
      </c>
      <c r="B14" s="8">
        <f t="shared" si="2"/>
        <v>164.0203395390798</v>
      </c>
      <c r="C14" s="7">
        <v>121.93</v>
      </c>
      <c r="D14" s="7">
        <v>19999</v>
      </c>
    </row>
    <row r="15" spans="1:15" x14ac:dyDescent="0.25">
      <c r="A15" s="6">
        <v>45574</v>
      </c>
      <c r="B15" s="8">
        <f t="shared" si="2"/>
        <v>325.1076973095993</v>
      </c>
      <c r="C15" s="7">
        <v>123.03</v>
      </c>
      <c r="D15" s="7">
        <v>39998</v>
      </c>
    </row>
    <row r="16" spans="1:15" x14ac:dyDescent="0.25">
      <c r="A16" s="6">
        <v>45574</v>
      </c>
      <c r="B16" s="8">
        <f t="shared" si="2"/>
        <v>162.55384865479965</v>
      </c>
      <c r="C16" s="7">
        <v>123.03</v>
      </c>
      <c r="D16" s="7">
        <v>19999</v>
      </c>
    </row>
    <row r="17" spans="1:4" ht="21" x14ac:dyDescent="0.35">
      <c r="A17" s="7"/>
      <c r="B17" s="12">
        <f>SUM(B4:B16)</f>
        <v>19675.888937555941</v>
      </c>
      <c r="C17" s="10">
        <f>AVERAGE(C4:C16)</f>
        <v>121.77999999999999</v>
      </c>
      <c r="D17" s="11">
        <f>SUM(D4:D16)</f>
        <v>2399880</v>
      </c>
    </row>
  </sheetData>
  <mergeCells count="2">
    <mergeCell ref="B1:C1"/>
    <mergeCell ref="L1:M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Debrup Motilal</vt:lpstr>
      <vt:lpstr>Jayashree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2026-05-25T04:47:36Z</dcterms:created>
  <dcterms:modified xsi:type="dcterms:W3CDTF">2026-07-02T07:48:55Z</dcterms:modified>
</cp:coreProperties>
</file>